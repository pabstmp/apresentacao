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endario" sheetId="1" state="visible" r:id="rId3"/>
    <sheet name="Pilares" sheetId="2" state="visible" r:id="rId4"/>
    <sheet name="Metricas" sheetId="3" state="visible" r:id="rId5"/>
    <sheet name="Banco de ideia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<sst xmlns="http://schemas.openxmlformats.org/spreadsheetml/2006/main" count="177" uniqueCount="108">
  <si>
    <t xml:space="preserve">Semana</t>
  </si>
  <si>
    <t xml:space="preserve">Data sugerida</t>
  </si>
  <si>
    <t xml:space="preserve">Dia</t>
  </si>
  <si>
    <t xml:space="preserve">Pilar</t>
  </si>
  <si>
    <t xml:space="preserve">Tema</t>
  </si>
  <si>
    <t xml:space="preserve">Hook (primeira linha)</t>
  </si>
  <si>
    <t xml:space="preserve">CTA / P.S.</t>
  </si>
  <si>
    <t xml:space="preserve">Status</t>
  </si>
  <si>
    <t xml:space="preserve">Data publicacao real</t>
  </si>
  <si>
    <t xml:space="preserve">Impressoes</t>
  </si>
  <si>
    <t xml:space="preserve">Reacoes</t>
  </si>
  <si>
    <t xml:space="preserve">Comentarios</t>
  </si>
  <si>
    <t xml:space="preserve">Cliques no perfil</t>
  </si>
  <si>
    <t xml:space="preserve">DMs / Conversas</t>
  </si>
  <si>
    <t xml:space="preserve">Notas</t>
  </si>
  <si>
    <t xml:space="preserve">2026-05-18</t>
  </si>
  <si>
    <t xml:space="preserve">Segunda</t>
  </si>
  <si>
    <t xml:space="preserve">Bastidores</t>
  </si>
  <si>
    <t xml:space="preserve">A pasta de projetos nao terminados</t>
  </si>
  <si>
    <t xml:space="preserve">Tenho uma pasta no computador chamada 'projetos'. 14 subpastas. Nenhuma delas esta no ar.</t>
  </si>
  <si>
    <t xml:space="preserve">Pergunta no fim - sem CTA produto</t>
  </si>
  <si>
    <t xml:space="preserve">Pendente</t>
  </si>
  <si>
    <t xml:space="preserve">2026-05-20</t>
  </si>
  <si>
    <t xml:space="preserve">Quarta</t>
  </si>
  <si>
    <t xml:space="preserve">Insight</t>
  </si>
  <si>
    <t xml:space="preserve">Rodou no meu computador</t>
  </si>
  <si>
    <t xml:space="preserve">'Mas no meu computador funciona.' Eu ja falei. Voce provavelmente tambem.</t>
  </si>
  <si>
    <t xml:space="preserve">2026-05-22</t>
  </si>
  <si>
    <t xml:space="preserve">Sexta</t>
  </si>
  <si>
    <t xml:space="preserve">Manifesto</t>
  </si>
  <si>
    <t xml:space="preserve">Deploy e coragem, nao conhecimento</t>
  </si>
  <si>
    <t xml:space="preserve">A maioria dos devs juniores SABE fazer deploy. O que falta nao e conhecimento. E coragem.</t>
  </si>
  <si>
    <t xml:space="preserve">P.S. com link zeroaodeploy.com</t>
  </si>
  <si>
    <t xml:space="preserve">2026-05-25</t>
  </si>
  <si>
    <t xml:space="preserve">A conta de AWS de US$ 80</t>
  </si>
  <si>
    <t xml:space="preserve">Acordei num sabado de manha com um e-mail da AWS: 'Your bill is now $87.42'.</t>
  </si>
  <si>
    <t xml:space="preserve">2026-05-27</t>
  </si>
  <si>
    <t xml:space="preserve">O .env que foi parar no GitHub</t>
  </si>
  <si>
    <t xml:space="preserve">Subir o .env no GitHub com chave real. Em menos de 11 min a chave ja tinha sido usada.</t>
  </si>
  <si>
    <t xml:space="preserve">2026-05-29</t>
  </si>
  <si>
    <t xml:space="preserve">Quem nunca colocou nada no ar nao aprendeu</t>
  </si>
  <si>
    <t xml:space="preserve">Pode ter feito 12 cursos. Se nunca colocou um projeto no ar, ainda nao aprendeu a programar.</t>
  </si>
  <si>
    <t xml:space="preserve">Desafio do fim de semana - sem link</t>
  </si>
  <si>
    <t xml:space="preserve">2026-06-01</t>
  </si>
  <si>
    <t xml:space="preserve">O aluno que ficou 6 meses no mesmo bug</t>
  </si>
  <si>
    <t xml:space="preserve">Aluno meu travou 6 meses num 502 em producao. Resposta: era a porta.</t>
  </si>
  <si>
    <t xml:space="preserve">Mencao ao curso no contexto da historia</t>
  </si>
  <si>
    <t xml:space="preserve">2026-06-03</t>
  </si>
  <si>
    <t xml:space="preserve">Quando o problema nao e o codigo</t>
  </si>
  <si>
    <t xml:space="preserve">80% dos bugs de producao que resolvi nao eram bugs de codigo. Eram do ambiente.</t>
  </si>
  <si>
    <t xml:space="preserve">2026-06-05</t>
  </si>
  <si>
    <t xml:space="preserve">Seu portfolio nao e o GitHub, e o link</t>
  </si>
  <si>
    <t xml:space="preserve">Recrutador nao abre o seu GitHub. Ele procura um link. Clica. Se abrir, voce passa.</t>
  </si>
  <si>
    <t xml:space="preserve">Regua de qualidade - sem link</t>
  </si>
  <si>
    <t xml:space="preserve">2026-06-08</t>
  </si>
  <si>
    <t xml:space="preserve">Por que comecei a ensinar deploy</t>
  </si>
  <si>
    <t xml:space="preserve">Faz 3 anos que ensino deploy. Antes, ensinava programacao tradicional. Ate uma aluna me escrever.</t>
  </si>
  <si>
    <t xml:space="preserve">2026-06-10</t>
  </si>
  <si>
    <t xml:space="preserve">DNS, dominio e a hora de espera</t>
  </si>
  <si>
    <t xml:space="preserve">Tem uma frase que todo dev ouve as 23h antes de demo: 'Deve ser o DNS'. E e.</t>
  </si>
  <si>
    <t xml:space="preserve">2026-06-12</t>
  </si>
  <si>
    <t xml:space="preserve">Termine uma coisa esse fim de semana</t>
  </si>
  <si>
    <t xml:space="preserve">A maior parte das pessoas que vao ler esse post tem pelo menos um projeto parado.</t>
  </si>
  <si>
    <t xml:space="preserve">Desafio publico nos comentarios</t>
  </si>
  <si>
    <t xml:space="preserve">Objetivo</t>
  </si>
  <si>
    <t xml:space="preserve">Tom</t>
  </si>
  <si>
    <t xml:space="preserve">Estrutura sugerida</t>
  </si>
  <si>
    <t xml:space="preserve">CTA padrao</t>
  </si>
  <si>
    <t xml:space="preserve">Conectar e humanizar - gerar comentario e DM</t>
  </si>
  <si>
    <t xml:space="preserve">Historia pessoal, vulnerabilidade controlada, numeros reais</t>
  </si>
  <si>
    <t xml:space="preserve">Hook &gt; Cena &gt; Conflito &gt; Insight &gt; Pergunta</t>
  </si>
  <si>
    <t xml:space="preserve">Pergunta aberta. Sem link de produto.</t>
  </si>
  <si>
    <t xml:space="preserve">Construir autoridade tecnica embrulhada em narrativa</t>
  </si>
  <si>
    <t xml:space="preserve">Licao pratica contada em primeira pessoa, com 1 a 3 bullets</t>
  </si>
  <si>
    <t xml:space="preserve">Cena curta &gt; Lista numerada &gt; Pergunta</t>
  </si>
  <si>
    <t xml:space="preserve">Pergunta para experiencias do leitor. Link so se tema casar.</t>
  </si>
  <si>
    <t xml:space="preserve">Posicionamento - atrair publico alinhado</t>
  </si>
  <si>
    <t xml:space="preserve">Opiniao firme, polariza um pouco, fecha com chamado para o fim de semana</t>
  </si>
  <si>
    <t xml:space="preserve">Afirmacao forte &gt; Justificativa &gt; Aplicacao &gt; Convite</t>
  </si>
  <si>
    <t xml:space="preserve">Desafio publico. P.S. com link em 1 manifesto a cada 2-3 publicados.</t>
  </si>
  <si>
    <t xml:space="preserve">Metrica</t>
  </si>
  <si>
    <t xml:space="preserve">Total 4 semanas</t>
  </si>
  <si>
    <t xml:space="preserve">Media por post</t>
  </si>
  <si>
    <t xml:space="preserve">Meta inicial</t>
  </si>
  <si>
    <t xml:space="preserve">Como usar:</t>
  </si>
  <si>
    <t xml:space="preserve">Preencha as colunas J-N da aba 'Calendario' apos cada publicacao.</t>
  </si>
  <si>
    <t xml:space="preserve">As formulas desta aba recalculam automaticamente.</t>
  </si>
  <si>
    <t xml:space="preserve">Metas iniciais sao conservadoras - ajuste apos 4 semanas para baselines reais.</t>
  </si>
  <si>
    <t xml:space="preserve">Hook potencial</t>
  </si>
  <si>
    <t xml:space="preserve">O treinamento que ninguem compareceu</t>
  </si>
  <si>
    <t xml:space="preserve">Marquei live, divulguei 2 semanas. No dia, 3 pessoas. O que aprendi.</t>
  </si>
  <si>
    <t xml:space="preserve">Backlog</t>
  </si>
  <si>
    <t xml:space="preserve">A primeira vez que alguem pagou pelo meu curso</t>
  </si>
  <si>
    <t xml:space="preserve">O primeiro PIX que entrou. O que mudou na minha cabeca.</t>
  </si>
  <si>
    <t xml:space="preserve">Por que parei de aceitar freelance</t>
  </si>
  <si>
    <t xml:space="preserve">Estava ganhando bem. Aceitei o ultimo. Aqui esta o porque.</t>
  </si>
  <si>
    <t xml:space="preserve">Logs sao literatura - voce so precisa aprender a ler</t>
  </si>
  <si>
    <t xml:space="preserve">Resolvi um bug de 3 dias em 4 minutos lendo o log certo.</t>
  </si>
  <si>
    <t xml:space="preserve">O ciclo de feedback do iniciante e quebrado</t>
  </si>
  <si>
    <t xml:space="preserve">Por que o tutorial te ensina o que funciona, nao o que quebra.</t>
  </si>
  <si>
    <t xml:space="preserve">Por que CI/CD muda como voce programa</t>
  </si>
  <si>
    <t xml:space="preserve">Antes do CI, eu testava no fim. Depois do CI, testei desde o comeco.</t>
  </si>
  <si>
    <t xml:space="preserve">Bootcamp nao te ensina a parte que importa</t>
  </si>
  <si>
    <t xml:space="preserve">Te ensinam React em 6 semanas. Ninguem te ensina a colocar isso no ar.</t>
  </si>
  <si>
    <t xml:space="preserve">Vagas junior nao estao em falta - devs prontos sim</t>
  </si>
  <si>
    <t xml:space="preserve">Recrutador me liga toda semana. Tem 200 curriculos. 4 com link.</t>
  </si>
  <si>
    <t xml:space="preserve">A regra dos 100 deploys</t>
  </si>
  <si>
    <t xml:space="preserve">Voce nao e dev senior por anos. E por deploys.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</si>
</sst>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AE3F3"/>
        <bgColor rgb="FFE2EFD9"/>
      </patternFill>
    </fill>
    <fill>
      <patternFill patternType="solid">
        <fgColor rgb="FFE2EFD9"/>
        <bgColor rgb="FFDAE3F3"/>
      </patternFill>
    </fill>
    <fill>
      <patternFill patternType="solid">
        <fgColor rgb="FFFCE4D6"/>
        <bgColor rgb="FFE2EF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38"/>
    <col collapsed="false" customWidth="true" hidden="false" outlineLevel="0" max="6" min="6" style="0" width="55"/>
    <col collapsed="false" customWidth="true" hidden="false" outlineLevel="0" max="7" min="7" style="0" width="28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16"/>
    <col collapsed="false" customWidth="true" hidden="false" outlineLevel="0" max="15" min="15" style="0" width="30"/>
  </cols>
  <sheetData>
    <row r="1" customFormat="false" ht="39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54.75" hidden="false" customHeight="true" outlineLevel="0" collapsed="false">
      <c r="A2" s="2" t="n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/>
      <c r="K2" s="2"/>
      <c r="L2" s="2"/>
      <c r="M2" s="2"/>
      <c r="N2" s="2"/>
      <c r="O2" s="2"/>
    </row>
    <row r="3" customFormat="false" ht="54.75" hidden="false" customHeight="true" outlineLevel="0" collapsed="false">
      <c r="A3" s="3" t="n">
        <v>1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  <c r="G3" s="3" t="s">
        <v>20</v>
      </c>
      <c r="H3" s="3" t="s">
        <v>21</v>
      </c>
      <c r="I3" s="3"/>
      <c r="J3" s="3"/>
      <c r="K3" s="3"/>
      <c r="L3" s="3"/>
      <c r="M3" s="3"/>
      <c r="N3" s="3"/>
      <c r="O3" s="3"/>
    </row>
    <row r="4" customFormat="false" ht="54.75" hidden="false" customHeight="true" outlineLevel="0" collapsed="false">
      <c r="A4" s="4" t="n">
        <v>1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21</v>
      </c>
      <c r="I4" s="4"/>
      <c r="J4" s="4"/>
      <c r="K4" s="4"/>
      <c r="L4" s="4"/>
      <c r="M4" s="4"/>
      <c r="N4" s="4"/>
      <c r="O4" s="4"/>
    </row>
    <row r="5" customFormat="false" ht="54.75" hidden="false" customHeight="true" outlineLevel="0" collapsed="false">
      <c r="A5" s="2" t="n">
        <v>2</v>
      </c>
      <c r="B5" s="2" t="s">
        <v>33</v>
      </c>
      <c r="C5" s="2" t="s">
        <v>16</v>
      </c>
      <c r="D5" s="2" t="s">
        <v>17</v>
      </c>
      <c r="E5" s="2" t="s">
        <v>34</v>
      </c>
      <c r="F5" s="2" t="s">
        <v>35</v>
      </c>
      <c r="G5" s="2" t="s">
        <v>20</v>
      </c>
      <c r="H5" s="2" t="s">
        <v>21</v>
      </c>
      <c r="I5" s="2"/>
      <c r="J5" s="2"/>
      <c r="K5" s="2"/>
      <c r="L5" s="2"/>
      <c r="M5" s="2"/>
      <c r="N5" s="2"/>
      <c r="O5" s="2"/>
    </row>
    <row r="6" customFormat="false" ht="54.75" hidden="false" customHeight="true" outlineLevel="0" collapsed="false">
      <c r="A6" s="3" t="n">
        <v>2</v>
      </c>
      <c r="B6" s="3" t="s">
        <v>36</v>
      </c>
      <c r="C6" s="3" t="s">
        <v>23</v>
      </c>
      <c r="D6" s="3" t="s">
        <v>24</v>
      </c>
      <c r="E6" s="3" t="s">
        <v>37</v>
      </c>
      <c r="F6" s="3" t="s">
        <v>38</v>
      </c>
      <c r="G6" s="3" t="s">
        <v>20</v>
      </c>
      <c r="H6" s="3" t="s">
        <v>21</v>
      </c>
      <c r="I6" s="3"/>
      <c r="J6" s="3"/>
      <c r="K6" s="3"/>
      <c r="L6" s="3"/>
      <c r="M6" s="3"/>
      <c r="N6" s="3"/>
      <c r="O6" s="3"/>
    </row>
    <row r="7" customFormat="false" ht="54.75" hidden="false" customHeight="true" outlineLevel="0" collapsed="false">
      <c r="A7" s="4" t="n">
        <v>2</v>
      </c>
      <c r="B7" s="4" t="s">
        <v>39</v>
      </c>
      <c r="C7" s="4" t="s">
        <v>28</v>
      </c>
      <c r="D7" s="4" t="s">
        <v>29</v>
      </c>
      <c r="E7" s="4" t="s">
        <v>40</v>
      </c>
      <c r="F7" s="4" t="s">
        <v>41</v>
      </c>
      <c r="G7" s="4" t="s">
        <v>42</v>
      </c>
      <c r="H7" s="4" t="s">
        <v>21</v>
      </c>
      <c r="I7" s="4"/>
      <c r="J7" s="4"/>
      <c r="K7" s="4"/>
      <c r="L7" s="4"/>
      <c r="M7" s="4"/>
      <c r="N7" s="4"/>
      <c r="O7" s="4"/>
    </row>
    <row r="8" customFormat="false" ht="54.75" hidden="false" customHeight="true" outlineLevel="0" collapsed="false">
      <c r="A8" s="2" t="n">
        <v>3</v>
      </c>
      <c r="B8" s="2" t="s">
        <v>43</v>
      </c>
      <c r="C8" s="2" t="s">
        <v>16</v>
      </c>
      <c r="D8" s="2" t="s">
        <v>17</v>
      </c>
      <c r="E8" s="2" t="s">
        <v>44</v>
      </c>
      <c r="F8" s="2" t="s">
        <v>45</v>
      </c>
      <c r="G8" s="2" t="s">
        <v>46</v>
      </c>
      <c r="H8" s="2" t="s">
        <v>21</v>
      </c>
      <c r="I8" s="2"/>
      <c r="J8" s="2"/>
      <c r="K8" s="2"/>
      <c r="L8" s="2"/>
      <c r="M8" s="2"/>
      <c r="N8" s="2"/>
      <c r="O8" s="2"/>
    </row>
    <row r="9" customFormat="false" ht="54.75" hidden="false" customHeight="true" outlineLevel="0" collapsed="false">
      <c r="A9" s="3" t="n">
        <v>3</v>
      </c>
      <c r="B9" s="3" t="s">
        <v>47</v>
      </c>
      <c r="C9" s="3" t="s">
        <v>23</v>
      </c>
      <c r="D9" s="3" t="s">
        <v>24</v>
      </c>
      <c r="E9" s="3" t="s">
        <v>48</v>
      </c>
      <c r="F9" s="3" t="s">
        <v>49</v>
      </c>
      <c r="G9" s="3" t="s">
        <v>20</v>
      </c>
      <c r="H9" s="3" t="s">
        <v>21</v>
      </c>
      <c r="I9" s="3"/>
      <c r="J9" s="3"/>
      <c r="K9" s="3"/>
      <c r="L9" s="3"/>
      <c r="M9" s="3"/>
      <c r="N9" s="3"/>
      <c r="O9" s="3"/>
    </row>
    <row r="10" customFormat="false" ht="54.75" hidden="false" customHeight="true" outlineLevel="0" collapsed="false">
      <c r="A10" s="4" t="n">
        <v>3</v>
      </c>
      <c r="B10" s="4" t="s">
        <v>50</v>
      </c>
      <c r="C10" s="4" t="s">
        <v>28</v>
      </c>
      <c r="D10" s="4" t="s">
        <v>29</v>
      </c>
      <c r="E10" s="4" t="s">
        <v>51</v>
      </c>
      <c r="F10" s="4" t="s">
        <v>52</v>
      </c>
      <c r="G10" s="4" t="s">
        <v>53</v>
      </c>
      <c r="H10" s="4" t="s">
        <v>21</v>
      </c>
      <c r="I10" s="4"/>
      <c r="J10" s="4"/>
      <c r="K10" s="4"/>
      <c r="L10" s="4"/>
      <c r="M10" s="4"/>
      <c r="N10" s="4"/>
      <c r="O10" s="4"/>
    </row>
    <row r="11" customFormat="false" ht="54.75" hidden="false" customHeight="true" outlineLevel="0" collapsed="false">
      <c r="A11" s="2" t="n">
        <v>4</v>
      </c>
      <c r="B11" s="2" t="s">
        <v>54</v>
      </c>
      <c r="C11" s="2" t="s">
        <v>16</v>
      </c>
      <c r="D11" s="2" t="s">
        <v>17</v>
      </c>
      <c r="E11" s="2" t="s">
        <v>55</v>
      </c>
      <c r="F11" s="2" t="s">
        <v>56</v>
      </c>
      <c r="G11" s="2" t="s">
        <v>32</v>
      </c>
      <c r="H11" s="2" t="s">
        <v>21</v>
      </c>
      <c r="I11" s="2"/>
      <c r="J11" s="2"/>
      <c r="K11" s="2"/>
      <c r="L11" s="2"/>
      <c r="M11" s="2"/>
      <c r="N11" s="2"/>
      <c r="O11" s="2"/>
    </row>
    <row r="12" customFormat="false" ht="54.75" hidden="false" customHeight="true" outlineLevel="0" collapsed="false">
      <c r="A12" s="3" t="n">
        <v>4</v>
      </c>
      <c r="B12" s="3" t="s">
        <v>57</v>
      </c>
      <c r="C12" s="3" t="s">
        <v>23</v>
      </c>
      <c r="D12" s="3" t="s">
        <v>24</v>
      </c>
      <c r="E12" s="3" t="s">
        <v>58</v>
      </c>
      <c r="F12" s="3" t="s">
        <v>59</v>
      </c>
      <c r="G12" s="3" t="s">
        <v>20</v>
      </c>
      <c r="H12" s="3" t="s">
        <v>21</v>
      </c>
      <c r="I12" s="3"/>
      <c r="J12" s="3"/>
      <c r="K12" s="3"/>
      <c r="L12" s="3"/>
      <c r="M12" s="3"/>
      <c r="N12" s="3"/>
      <c r="O12" s="3"/>
    </row>
    <row r="13" customFormat="false" ht="54.75" hidden="false" customHeight="true" outlineLevel="0" collapsed="false">
      <c r="A13" s="4" t="n">
        <v>4</v>
      </c>
      <c r="B13" s="4" t="s">
        <v>60</v>
      </c>
      <c r="C13" s="4" t="s">
        <v>28</v>
      </c>
      <c r="D13" s="4" t="s">
        <v>29</v>
      </c>
      <c r="E13" s="4" t="s">
        <v>61</v>
      </c>
      <c r="F13" s="4" t="s">
        <v>62</v>
      </c>
      <c r="G13" s="4" t="s">
        <v>63</v>
      </c>
      <c r="H13" s="4" t="s">
        <v>21</v>
      </c>
      <c r="I13" s="4"/>
      <c r="J13" s="4"/>
      <c r="K13" s="4"/>
      <c r="L13" s="4"/>
      <c r="M13" s="4"/>
      <c r="N13" s="4"/>
      <c r="O13" s="4"/>
    </row>
  </sheetData>
  <dataValidations count="1">
    <dataValidation allowBlank="true" errorStyle="stop" operator="between" showDropDown="false" showErrorMessage="false" showInputMessage="false" sqref="H2:H13" type="list">
      <formula1>"Pendente,Agendado,Publicado,Reescrever"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6" min="3" style="0" width="38"/>
  </cols>
  <sheetData>
    <row r="1" customFormat="false" ht="31.5" hidden="false" customHeight="true" outlineLevel="0" collapsed="false">
      <c r="A1" s="5" t="s">
        <v>3</v>
      </c>
      <c r="B1" s="5" t="s">
        <v>2</v>
      </c>
      <c r="C1" s="5" t="s">
        <v>64</v>
      </c>
      <c r="D1" s="5" t="s">
        <v>65</v>
      </c>
      <c r="E1" s="5" t="s">
        <v>66</v>
      </c>
      <c r="F1" s="5" t="s">
        <v>67</v>
      </c>
    </row>
    <row r="2" customFormat="false" ht="79.5" hidden="false" customHeight="true" outlineLevel="0" collapsed="false">
      <c r="A2" s="6" t="s">
        <v>17</v>
      </c>
      <c r="B2" s="6" t="s">
        <v>16</v>
      </c>
      <c r="C2" s="6" t="s">
        <v>68</v>
      </c>
      <c r="D2" s="6" t="s">
        <v>69</v>
      </c>
      <c r="E2" s="6" t="s">
        <v>70</v>
      </c>
      <c r="F2" s="6" t="s">
        <v>71</v>
      </c>
    </row>
    <row r="3" customFormat="false" ht="79.5" hidden="false" customHeight="true" outlineLevel="0" collapsed="false">
      <c r="A3" s="7" t="s">
        <v>24</v>
      </c>
      <c r="B3" s="7" t="s">
        <v>23</v>
      </c>
      <c r="C3" s="7" t="s">
        <v>72</v>
      </c>
      <c r="D3" s="7" t="s">
        <v>73</v>
      </c>
      <c r="E3" s="7" t="s">
        <v>74</v>
      </c>
      <c r="F3" s="7" t="s">
        <v>75</v>
      </c>
    </row>
    <row r="4" customFormat="false" ht="79.5" hidden="false" customHeight="true" outlineLevel="0" collapsed="false">
      <c r="A4" s="8" t="s">
        <v>29</v>
      </c>
      <c r="B4" s="8" t="s">
        <v>28</v>
      </c>
      <c r="C4" s="8" t="s">
        <v>76</v>
      </c>
      <c r="D4" s="8" t="s">
        <v>77</v>
      </c>
      <c r="E4" s="8" t="s">
        <v>78</v>
      </c>
      <c r="F4" s="8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9" t="s">
        <v>80</v>
      </c>
      <c r="B1" s="9" t="s">
        <v>81</v>
      </c>
      <c r="C1" s="9" t="s">
        <v>82</v>
      </c>
      <c r="D1" s="9" t="s">
        <v>83</v>
      </c>
      <c r="E1" s="9" t="s">
        <v>7</v>
      </c>
    </row>
    <row r="2" customFormat="false" ht="15" hidden="false" customHeight="false" outlineLevel="0" collapsed="false">
      <c r="A2" s="10" t="s">
        <v>9</v>
      </c>
      <c r="B2" s="10" t="n">
        <f aca="false">SUM(Calendario!J2:J13)</f>
        <v>0</v>
      </c>
      <c r="C2" s="10" t="n">
        <f aca="false">IFERROR(AVERAGE(Calendario!J2:J13),0)</f>
        <v>0</v>
      </c>
      <c r="D2" s="10" t="n">
        <v>2000</v>
      </c>
      <c r="E2" s="10" t="str">
        <f aca="false">IF(C2&gt;=D2,"Acima da meta",IF(C2=0,"sem dados","Abaixo da meta"))</f>
        <v>sem dados</v>
      </c>
    </row>
    <row r="3" customFormat="false" ht="15" hidden="false" customHeight="false" outlineLevel="0" collapsed="false">
      <c r="A3" s="10" t="s">
        <v>10</v>
      </c>
      <c r="B3" s="10" t="n">
        <f aca="false">SUM(Calendario!K2:K13)</f>
        <v>0</v>
      </c>
      <c r="C3" s="10" t="n">
        <f aca="false">IFERROR(AVERAGE(Calendario!K2:K13),0)</f>
        <v>0</v>
      </c>
      <c r="D3" s="10" t="n">
        <v>30</v>
      </c>
      <c r="E3" s="10" t="str">
        <f aca="false">IF(C3&gt;=D3,"Acima da meta",IF(C3=0,"sem dados","Abaixo da meta"))</f>
        <v>sem dados</v>
      </c>
    </row>
    <row r="4" customFormat="false" ht="15" hidden="false" customHeight="false" outlineLevel="0" collapsed="false">
      <c r="A4" s="10" t="s">
        <v>11</v>
      </c>
      <c r="B4" s="10" t="n">
        <f aca="false">SUM(Calendario!L2:L13)</f>
        <v>0</v>
      </c>
      <c r="C4" s="10" t="n">
        <f aca="false">IFERROR(AVERAGE(Calendario!L2:L13),0)</f>
        <v>0</v>
      </c>
      <c r="D4" s="10" t="n">
        <v>8</v>
      </c>
      <c r="E4" s="10" t="str">
        <f aca="false">IF(C4&gt;=D4,"Acima da meta",IF(C4=0,"sem dados","Abaixo da meta"))</f>
        <v>sem dados</v>
      </c>
    </row>
    <row r="5" customFormat="false" ht="15" hidden="false" customHeight="false" outlineLevel="0" collapsed="false">
      <c r="A5" s="10" t="s">
        <v>12</v>
      </c>
      <c r="B5" s="10" t="n">
        <f aca="false">SUM(Calendario!M2:M13)</f>
        <v>0</v>
      </c>
      <c r="C5" s="10" t="n">
        <f aca="false">IFERROR(AVERAGE(Calendario!M2:M13),0)</f>
        <v>0</v>
      </c>
      <c r="D5" s="10" t="n">
        <v>15</v>
      </c>
      <c r="E5" s="10" t="str">
        <f aca="false">IF(C5&gt;=D5,"Acima da meta",IF(C5=0,"sem dados","Abaixo da meta"))</f>
        <v>sem dados</v>
      </c>
    </row>
    <row r="6" customFormat="false" ht="15" hidden="false" customHeight="false" outlineLevel="0" collapsed="false">
      <c r="A6" s="10" t="s">
        <v>13</v>
      </c>
      <c r="B6" s="10" t="n">
        <f aca="false">SUM(Calendario!N2:N13)</f>
        <v>0</v>
      </c>
      <c r="C6" s="10" t="n">
        <f aca="false">IFERROR(AVERAGE(Calendario!N2:N13),0)</f>
        <v>0</v>
      </c>
      <c r="D6" s="10" t="n">
        <v>2</v>
      </c>
      <c r="E6" s="10" t="str">
        <f aca="false">IF(C6&gt;=D6,"Acima da meta",IF(C6=0,"sem dados","Abaixo da meta"))</f>
        <v>sem dados</v>
      </c>
    </row>
    <row r="8" customFormat="false" ht="15" hidden="false" customHeight="false" outlineLevel="0" collapsed="false">
      <c r="A8" s="11" t="s">
        <v>84</v>
      </c>
    </row>
    <row r="9" customFormat="false" ht="15" hidden="false" customHeight="false" outlineLevel="0" collapsed="false">
      <c r="A9" s="0" t="s">
        <v>85</v>
      </c>
    </row>
    <row r="10" customFormat="false" ht="15" hidden="false" customHeight="false" outlineLevel="0" collapsed="false">
      <c r="A10" s="0" t="s">
        <v>86</v>
      </c>
    </row>
    <row r="11" customFormat="false" ht="15" hidden="false" customHeight="false" outlineLevel="0" collapsed="false">
      <c r="A11" s="0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2"/>
    <col collapsed="false" customWidth="true" hidden="false" outlineLevel="0" max="3" min="3" style="0" width="60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9" t="s">
        <v>3</v>
      </c>
      <c r="B1" s="9" t="s">
        <v>4</v>
      </c>
      <c r="C1" s="9" t="s">
        <v>88</v>
      </c>
      <c r="D1" s="9" t="s">
        <v>7</v>
      </c>
    </row>
    <row r="2" customFormat="false" ht="39.75" hidden="false" customHeight="true" outlineLevel="0" collapsed="false">
      <c r="A2" s="2" t="s">
        <v>17</v>
      </c>
      <c r="B2" s="2" t="s">
        <v>89</v>
      </c>
      <c r="C2" s="2" t="s">
        <v>90</v>
      </c>
      <c r="D2" s="2" t="s">
        <v>91</v>
      </c>
    </row>
    <row r="3" customFormat="false" ht="39.75" hidden="false" customHeight="true" outlineLevel="0" collapsed="false">
      <c r="A3" s="2" t="s">
        <v>17</v>
      </c>
      <c r="B3" s="2" t="s">
        <v>92</v>
      </c>
      <c r="C3" s="2" t="s">
        <v>93</v>
      </c>
      <c r="D3" s="2" t="s">
        <v>91</v>
      </c>
    </row>
    <row r="4" customFormat="false" ht="39.75" hidden="false" customHeight="true" outlineLevel="0" collapsed="false">
      <c r="A4" s="2" t="s">
        <v>17</v>
      </c>
      <c r="B4" s="2" t="s">
        <v>94</v>
      </c>
      <c r="C4" s="2" t="s">
        <v>95</v>
      </c>
      <c r="D4" s="2" t="s">
        <v>91</v>
      </c>
    </row>
    <row r="5" customFormat="false" ht="39.75" hidden="false" customHeight="true" outlineLevel="0" collapsed="false">
      <c r="A5" s="3" t="s">
        <v>24</v>
      </c>
      <c r="B5" s="3" t="s">
        <v>96</v>
      </c>
      <c r="C5" s="3" t="s">
        <v>97</v>
      </c>
      <c r="D5" s="3" t="s">
        <v>91</v>
      </c>
    </row>
    <row r="6" customFormat="false" ht="39.75" hidden="false" customHeight="true" outlineLevel="0" collapsed="false">
      <c r="A6" s="3" t="s">
        <v>24</v>
      </c>
      <c r="B6" s="3" t="s">
        <v>98</v>
      </c>
      <c r="C6" s="3" t="s">
        <v>99</v>
      </c>
      <c r="D6" s="3" t="s">
        <v>91</v>
      </c>
    </row>
    <row r="7" customFormat="false" ht="39.75" hidden="false" customHeight="true" outlineLevel="0" collapsed="false">
      <c r="A7" s="3" t="s">
        <v>24</v>
      </c>
      <c r="B7" s="3" t="s">
        <v>100</v>
      </c>
      <c r="C7" s="3" t="s">
        <v>101</v>
      </c>
      <c r="D7" s="3" t="s">
        <v>91</v>
      </c>
    </row>
    <row r="8" customFormat="false" ht="39.75" hidden="false" customHeight="true" outlineLevel="0" collapsed="false">
      <c r="A8" s="4" t="s">
        <v>29</v>
      </c>
      <c r="B8" s="4" t="s">
        <v>102</v>
      </c>
      <c r="C8" s="4" t="s">
        <v>103</v>
      </c>
      <c r="D8" s="4" t="s">
        <v>91</v>
      </c>
    </row>
    <row r="9" customFormat="false" ht="39.75" hidden="false" customHeight="true" outlineLevel="0" collapsed="false">
      <c r="A9" s="4" t="s">
        <v>29</v>
      </c>
      <c r="B9" s="4" t="s">
        <v>104</v>
      </c>
      <c r="C9" s="4" t="s">
        <v>105</v>
      </c>
      <c r="D9" s="4" t="s">
        <v>91</v>
      </c>
    </row>
    <row r="10" customFormat="false" ht="39.75" hidden="false" customHeight="true" outlineLevel="0" collapsed="false">
      <c r="A10" s="4" t="s">
        <v>29</v>
      </c>
      <c r="B10" s="4" t="s">
        <v>106</v>
      </c>
      <c r="C10" s="4" t="s">
        <v>107</v>
      </c>
      <c r="D10" s="4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2026-05-15T10:34:59Z</dcterms:created>
  <dc:creator>openpyxl</dc:creator>
  <dc:description/>
  <dc:language>en-US</dc:language>
  <cp:lastModifiedBy/>
  <dcterms:modified xsi:type="dcterms:W3CDTF">2026-05-15T10:34:59Z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